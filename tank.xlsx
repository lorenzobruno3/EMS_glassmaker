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orenzo Bruno\Documents\UPC\code\realtime opt WP3\"/>
    </mc:Choice>
  </mc:AlternateContent>
  <xr:revisionPtr revIDLastSave="0" documentId="13_ncr:1_{01DF8B4E-CC49-4643-AA6C-80D211E0DC86}" xr6:coauthVersionLast="36" xr6:coauthVersionMax="36" xr10:uidLastSave="{00000000-0000-0000-0000-000000000000}"/>
  <bookViews>
    <workbookView xWindow="0" yWindow="0" windowWidth="22260" windowHeight="12650" activeTab="2" xr2:uid="{00000000-000D-0000-FFFF-FFFF00000000}"/>
  </bookViews>
  <sheets>
    <sheet name="TYPE1" sheetId="1" r:id="rId1"/>
    <sheet name="TYPE2" sheetId="2" r:id="rId2"/>
    <sheet name="TYPE100" sheetId="3" r:id="rId3"/>
    <sheet name="TYPE01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3" l="1"/>
  <c r="B3" i="3"/>
  <c r="C3" i="3" l="1"/>
  <c r="B2" i="4" l="1"/>
  <c r="B3" i="4"/>
  <c r="C13" i="4"/>
  <c r="B13" i="4"/>
  <c r="C12" i="4"/>
  <c r="B12" i="4"/>
  <c r="C3" i="4"/>
  <c r="K2" i="4"/>
  <c r="C13" i="3" l="1"/>
  <c r="B13" i="3"/>
  <c r="C12" i="3"/>
  <c r="B12" i="3"/>
  <c r="K2" i="3"/>
  <c r="B3" i="2" l="1"/>
  <c r="K2" i="2"/>
  <c r="B13" i="2" l="1"/>
  <c r="B12" i="2"/>
  <c r="C3" i="2" l="1"/>
  <c r="C12" i="2" l="1"/>
  <c r="C13" i="2"/>
  <c r="B3" i="1" l="1"/>
  <c r="B13" i="1" l="1"/>
  <c r="B12" i="1"/>
</calcChain>
</file>

<file path=xl/sharedStrings.xml><?xml version="1.0" encoding="utf-8"?>
<sst xmlns="http://schemas.openxmlformats.org/spreadsheetml/2006/main" count="153" uniqueCount="35">
  <si>
    <t>Parameters</t>
  </si>
  <si>
    <t>value</t>
  </si>
  <si>
    <t>unit</t>
  </si>
  <si>
    <t>-</t>
  </si>
  <si>
    <t>pressure</t>
  </si>
  <si>
    <t>bar</t>
  </si>
  <si>
    <t>yr</t>
  </si>
  <si>
    <t>CAPEX</t>
  </si>
  <si>
    <t>€/kWel</t>
  </si>
  <si>
    <t>€/kWel/annual</t>
  </si>
  <si>
    <t>installation_cost</t>
  </si>
  <si>
    <t>%CAPEX</t>
  </si>
  <si>
    <t>replacement_cost</t>
  </si>
  <si>
    <t>LCOE</t>
  </si>
  <si>
    <t>€/kWh</t>
  </si>
  <si>
    <t>LCOH</t>
  </si>
  <si>
    <t>€/kg</t>
  </si>
  <si>
    <t>lifetime</t>
  </si>
  <si>
    <t>efficiency_charge</t>
  </si>
  <si>
    <t>efficiency_discharge</t>
  </si>
  <si>
    <t>soc_initial</t>
  </si>
  <si>
    <t>soc_max</t>
  </si>
  <si>
    <t>soc_min</t>
  </si>
  <si>
    <t>kgH2</t>
  </si>
  <si>
    <t>=[kg]*[kWh/kg]</t>
  </si>
  <si>
    <t>kWh</t>
  </si>
  <si>
    <t>€/k</t>
  </si>
  <si>
    <t>OPEX</t>
  </si>
  <si>
    <t>rated_capacity_kg</t>
  </si>
  <si>
    <t>rated_capacity_kWh</t>
  </si>
  <si>
    <t>a casooo</t>
  </si>
  <si>
    <t>€/kWel/h</t>
  </si>
  <si>
    <t>questi sono kilo!!!</t>
  </si>
  <si>
    <t>con costo per ora, va tarato per I kg non per la Power IN</t>
  </si>
  <si>
    <t>value AT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</si>
</sst>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Font="1" applyBorder="1"/>
    <xf numFmtId="0" fontId="0" fillId="0" borderId="1" xfId="0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B4" sqref="B4"/>
    </sheetView>
  </sheetViews>
  <sheetFormatPr defaultRowHeight="14.5" x14ac:dyDescent="0.35"/>
  <cols>
    <col min="1" max="1" width="26.6328125" customWidth="1"/>
    <col min="2" max="2" width="17.7265625" customWidth="1"/>
    <col min="3" max="3" width="17.6328125" customWidth="1"/>
  </cols>
  <sheetData>
    <row r="1" spans="1:4" x14ac:dyDescent="0.35">
      <c r="A1" s="1" t="s">
        <v>0</v>
      </c>
      <c r="B1" s="1" t="s">
        <v>1</v>
      </c>
      <c r="C1" s="1" t="s">
        <v>2</v>
      </c>
    </row>
    <row r="2" spans="1:4" x14ac:dyDescent="0.35">
      <c r="A2" s="2" t="s">
        <v>28</v>
      </c>
      <c r="B2" s="2">
        <v>14.7</v>
      </c>
      <c r="C2" s="2" t="s">
        <v>23</v>
      </c>
    </row>
    <row r="3" spans="1:4" x14ac:dyDescent="0.35">
      <c r="A3" s="2" t="s">
        <v>29</v>
      </c>
      <c r="B3" s="2">
        <f>B2*33.33*1000</f>
        <v>489950.99999999994</v>
      </c>
      <c r="C3" s="2" t="s">
        <v>25</v>
      </c>
      <c r="D3" s="4" t="s">
        <v>24</v>
      </c>
    </row>
    <row r="4" spans="1:4" x14ac:dyDescent="0.35">
      <c r="A4" s="3" t="s">
        <v>18</v>
      </c>
      <c r="B4" s="3">
        <v>0.6</v>
      </c>
      <c r="C4" s="3" t="s">
        <v>3</v>
      </c>
      <c r="D4" t="s">
        <v>30</v>
      </c>
    </row>
    <row r="5" spans="1:4" x14ac:dyDescent="0.35">
      <c r="A5" s="3" t="s">
        <v>19</v>
      </c>
      <c r="B5" s="3">
        <v>0.7</v>
      </c>
      <c r="C5" s="3" t="s">
        <v>3</v>
      </c>
      <c r="D5" t="s">
        <v>30</v>
      </c>
    </row>
    <row r="6" spans="1:4" x14ac:dyDescent="0.35">
      <c r="A6" s="3" t="s">
        <v>20</v>
      </c>
      <c r="B6" s="3">
        <v>0.75</v>
      </c>
      <c r="C6" s="3" t="s">
        <v>3</v>
      </c>
    </row>
    <row r="7" spans="1:4" x14ac:dyDescent="0.35">
      <c r="A7" s="3" t="s">
        <v>21</v>
      </c>
      <c r="B7" s="3">
        <v>0.9</v>
      </c>
      <c r="C7" s="3" t="s">
        <v>3</v>
      </c>
    </row>
    <row r="8" spans="1:4" x14ac:dyDescent="0.35">
      <c r="A8" s="3" t="s">
        <v>22</v>
      </c>
      <c r="B8" s="3">
        <v>0.1</v>
      </c>
      <c r="C8" s="3" t="s">
        <v>3</v>
      </c>
    </row>
    <row r="9" spans="1:4" x14ac:dyDescent="0.35">
      <c r="A9" s="3" t="s">
        <v>4</v>
      </c>
      <c r="B9" s="3">
        <v>200</v>
      </c>
      <c r="C9" s="3" t="s">
        <v>5</v>
      </c>
    </row>
    <row r="10" spans="1:4" x14ac:dyDescent="0.35">
      <c r="A10" s="3" t="s">
        <v>17</v>
      </c>
      <c r="B10" s="3">
        <v>20</v>
      </c>
      <c r="C10" s="3" t="s">
        <v>6</v>
      </c>
    </row>
    <row r="11" spans="1:4" x14ac:dyDescent="0.35">
      <c r="A11" s="3" t="s">
        <v>7</v>
      </c>
      <c r="B11" s="3">
        <v>470</v>
      </c>
      <c r="C11" s="3" t="s">
        <v>26</v>
      </c>
    </row>
    <row r="12" spans="1:4" x14ac:dyDescent="0.35">
      <c r="A12" s="3" t="s">
        <v>27</v>
      </c>
      <c r="B12" s="3">
        <f>B11*0.2</f>
        <v>94</v>
      </c>
      <c r="C12" s="3" t="s">
        <v>9</v>
      </c>
    </row>
    <row r="13" spans="1:4" x14ac:dyDescent="0.35">
      <c r="A13" s="3" t="s">
        <v>10</v>
      </c>
      <c r="B13" s="3">
        <f>0.1*B11</f>
        <v>47</v>
      </c>
      <c r="C13" s="3" t="s">
        <v>8</v>
      </c>
    </row>
    <row r="14" spans="1:4" x14ac:dyDescent="0.35">
      <c r="A14" s="3" t="s">
        <v>12</v>
      </c>
      <c r="B14" s="3">
        <v>0</v>
      </c>
      <c r="C14" s="3" t="s">
        <v>11</v>
      </c>
    </row>
    <row r="15" spans="1:4" x14ac:dyDescent="0.35">
      <c r="A15" s="3" t="s">
        <v>13</v>
      </c>
      <c r="B15" s="3">
        <v>0</v>
      </c>
      <c r="C15" s="3" t="s">
        <v>14</v>
      </c>
    </row>
    <row r="16" spans="1:4" x14ac:dyDescent="0.35">
      <c r="A16" s="3" t="s">
        <v>15</v>
      </c>
      <c r="B16" s="3">
        <v>0</v>
      </c>
      <c r="C16" s="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6B8A-3640-45C1-A2A8-F19C5EE61056}">
  <dimension ref="A1:K16"/>
  <sheetViews>
    <sheetView workbookViewId="0">
      <selection activeCell="B3" sqref="B3"/>
    </sheetView>
  </sheetViews>
  <sheetFormatPr defaultRowHeight="14.5" x14ac:dyDescent="0.35"/>
  <cols>
    <col min="1" max="1" width="26.6328125" customWidth="1"/>
    <col min="2" max="3" width="17.7265625" customWidth="1"/>
    <col min="4" max="4" width="17.6328125" customWidth="1"/>
  </cols>
  <sheetData>
    <row r="1" spans="1:11" x14ac:dyDescent="0.35">
      <c r="A1" s="1" t="s">
        <v>0</v>
      </c>
      <c r="B1" s="1" t="s">
        <v>34</v>
      </c>
      <c r="C1" s="1" t="s">
        <v>1</v>
      </c>
      <c r="D1" s="1" t="s">
        <v>2</v>
      </c>
    </row>
    <row r="2" spans="1:11" x14ac:dyDescent="0.35">
      <c r="A2" s="2" t="s">
        <v>28</v>
      </c>
      <c r="B2" s="2">
        <v>2</v>
      </c>
      <c r="C2" s="2">
        <v>14.7</v>
      </c>
      <c r="D2" s="2" t="s">
        <v>23</v>
      </c>
      <c r="K2">
        <f>100/33.33</f>
        <v>3.0003000300030003</v>
      </c>
    </row>
    <row r="3" spans="1:11" x14ac:dyDescent="0.35">
      <c r="A3" s="2" t="s">
        <v>29</v>
      </c>
      <c r="B3" s="2">
        <f>B2*33.33*1000</f>
        <v>66660</v>
      </c>
      <c r="C3" s="2">
        <f>C2*33.33*1000</f>
        <v>489950.99999999994</v>
      </c>
      <c r="D3" s="2" t="s">
        <v>25</v>
      </c>
      <c r="E3" s="4" t="s">
        <v>24</v>
      </c>
    </row>
    <row r="4" spans="1:11" x14ac:dyDescent="0.35">
      <c r="A4" s="3" t="s">
        <v>18</v>
      </c>
      <c r="B4" s="3">
        <v>0.6</v>
      </c>
      <c r="C4" s="3">
        <v>0.6</v>
      </c>
      <c r="D4" s="3" t="s">
        <v>3</v>
      </c>
      <c r="E4" t="s">
        <v>30</v>
      </c>
    </row>
    <row r="5" spans="1:11" x14ac:dyDescent="0.35">
      <c r="A5" s="3" t="s">
        <v>19</v>
      </c>
      <c r="B5" s="3">
        <v>0.7</v>
      </c>
      <c r="C5" s="3">
        <v>0.7</v>
      </c>
      <c r="D5" s="3" t="s">
        <v>3</v>
      </c>
      <c r="E5" t="s">
        <v>30</v>
      </c>
    </row>
    <row r="6" spans="1:11" x14ac:dyDescent="0.35">
      <c r="A6" s="3" t="s">
        <v>20</v>
      </c>
      <c r="B6" s="3">
        <v>0.5</v>
      </c>
      <c r="C6" s="3">
        <v>0.75</v>
      </c>
      <c r="D6" s="3" t="s">
        <v>3</v>
      </c>
    </row>
    <row r="7" spans="1:11" x14ac:dyDescent="0.35">
      <c r="A7" s="3" t="s">
        <v>21</v>
      </c>
      <c r="B7" s="3">
        <v>0.9</v>
      </c>
      <c r="C7" s="3">
        <v>0.9</v>
      </c>
      <c r="D7" s="3" t="s">
        <v>3</v>
      </c>
    </row>
    <row r="8" spans="1:11" x14ac:dyDescent="0.35">
      <c r="A8" s="3" t="s">
        <v>22</v>
      </c>
      <c r="B8" s="3">
        <v>0.1</v>
      </c>
      <c r="C8" s="3">
        <v>0.1</v>
      </c>
      <c r="D8" s="3" t="s">
        <v>3</v>
      </c>
    </row>
    <row r="9" spans="1:11" x14ac:dyDescent="0.35">
      <c r="A9" s="3" t="s">
        <v>4</v>
      </c>
      <c r="B9" s="3">
        <v>200</v>
      </c>
      <c r="C9" s="3">
        <v>200</v>
      </c>
      <c r="D9" s="3" t="s">
        <v>5</v>
      </c>
    </row>
    <row r="10" spans="1:11" x14ac:dyDescent="0.35">
      <c r="A10" s="3" t="s">
        <v>17</v>
      </c>
      <c r="B10" s="3">
        <v>20</v>
      </c>
      <c r="C10" s="3">
        <v>20</v>
      </c>
      <c r="D10" s="3" t="s">
        <v>6</v>
      </c>
    </row>
    <row r="11" spans="1:11" x14ac:dyDescent="0.35">
      <c r="A11" s="3" t="s">
        <v>7</v>
      </c>
      <c r="B11" s="3">
        <v>470</v>
      </c>
      <c r="C11" s="3">
        <v>470</v>
      </c>
      <c r="D11" s="3" t="s">
        <v>16</v>
      </c>
      <c r="E11" t="s">
        <v>32</v>
      </c>
    </row>
    <row r="12" spans="1:11" x14ac:dyDescent="0.35">
      <c r="A12" s="3" t="s">
        <v>27</v>
      </c>
      <c r="B12" s="3">
        <f>B11*0.2/(365*24)</f>
        <v>1.0730593607305937E-2</v>
      </c>
      <c r="C12" s="3">
        <f>C11*0.2/(365*24)</f>
        <v>1.0730593607305937E-2</v>
      </c>
      <c r="D12" s="3" t="s">
        <v>31</v>
      </c>
      <c r="E12" t="s">
        <v>33</v>
      </c>
    </row>
    <row r="13" spans="1:11" x14ac:dyDescent="0.35">
      <c r="A13" s="3" t="s">
        <v>10</v>
      </c>
      <c r="B13" s="3">
        <f>0.1*B11</f>
        <v>47</v>
      </c>
      <c r="C13" s="3">
        <f>0.1*C11</f>
        <v>47</v>
      </c>
      <c r="D13" s="3" t="s">
        <v>8</v>
      </c>
    </row>
    <row r="14" spans="1:11" x14ac:dyDescent="0.35">
      <c r="A14" s="3" t="s">
        <v>12</v>
      </c>
      <c r="B14" s="3">
        <v>0</v>
      </c>
      <c r="C14" s="3">
        <v>0</v>
      </c>
      <c r="D14" s="3" t="s">
        <v>11</v>
      </c>
    </row>
    <row r="15" spans="1:11" x14ac:dyDescent="0.35">
      <c r="A15" s="3" t="s">
        <v>13</v>
      </c>
      <c r="B15" s="3">
        <v>0</v>
      </c>
      <c r="C15" s="3">
        <v>0</v>
      </c>
      <c r="D15" s="3" t="s">
        <v>14</v>
      </c>
    </row>
    <row r="16" spans="1:11" x14ac:dyDescent="0.35">
      <c r="A16" s="3" t="s">
        <v>15</v>
      </c>
      <c r="B16" s="3">
        <v>0</v>
      </c>
      <c r="C16" s="3">
        <v>0</v>
      </c>
      <c r="D16" s="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999F0-58C7-4CD9-A500-153655C994ED}">
  <dimension ref="A1:K16"/>
  <sheetViews>
    <sheetView tabSelected="1" workbookViewId="0">
      <selection activeCell="B3" sqref="B3"/>
    </sheetView>
  </sheetViews>
  <sheetFormatPr defaultRowHeight="14.5" x14ac:dyDescent="0.35"/>
  <cols>
    <col min="1" max="1" width="26.6328125" customWidth="1"/>
    <col min="2" max="3" width="17.7265625" customWidth="1"/>
    <col min="4" max="4" width="17.6328125" customWidth="1"/>
  </cols>
  <sheetData>
    <row r="1" spans="1:11" x14ac:dyDescent="0.35">
      <c r="A1" s="1" t="s">
        <v>0</v>
      </c>
      <c r="B1" s="1" t="s">
        <v>34</v>
      </c>
      <c r="C1" s="1" t="s">
        <v>1</v>
      </c>
      <c r="D1" s="1" t="s">
        <v>2</v>
      </c>
    </row>
    <row r="2" spans="1:11" x14ac:dyDescent="0.35">
      <c r="A2" s="2" t="s">
        <v>28</v>
      </c>
      <c r="B2" s="2">
        <f>B3/33.33</f>
        <v>100</v>
      </c>
      <c r="C2" s="2">
        <v>14.7</v>
      </c>
      <c r="D2" s="2" t="s">
        <v>23</v>
      </c>
      <c r="K2">
        <f>100/33.33</f>
        <v>3.0003000300030003</v>
      </c>
    </row>
    <row r="3" spans="1:11" x14ac:dyDescent="0.35">
      <c r="A3" s="2" t="s">
        <v>29</v>
      </c>
      <c r="B3" s="2">
        <f>3333</f>
        <v>3333</v>
      </c>
      <c r="C3" s="2">
        <f>C2*33.33</f>
        <v>489.95099999999996</v>
      </c>
      <c r="D3" s="2" t="s">
        <v>25</v>
      </c>
      <c r="E3" s="4" t="s">
        <v>24</v>
      </c>
    </row>
    <row r="4" spans="1:11" x14ac:dyDescent="0.35">
      <c r="A4" s="3" t="s">
        <v>18</v>
      </c>
      <c r="B4" s="3">
        <v>1</v>
      </c>
      <c r="C4" s="3">
        <v>0.6</v>
      </c>
      <c r="D4" s="3" t="s">
        <v>3</v>
      </c>
      <c r="E4" t="s">
        <v>30</v>
      </c>
    </row>
    <row r="5" spans="1:11" x14ac:dyDescent="0.35">
      <c r="A5" s="3" t="s">
        <v>19</v>
      </c>
      <c r="B5" s="3">
        <v>1</v>
      </c>
      <c r="C5" s="3">
        <v>0.7</v>
      </c>
      <c r="D5" s="3" t="s">
        <v>3</v>
      </c>
      <c r="E5" t="s">
        <v>30</v>
      </c>
    </row>
    <row r="6" spans="1:11" x14ac:dyDescent="0.35">
      <c r="A6" s="3" t="s">
        <v>20</v>
      </c>
      <c r="B6" s="3">
        <v>0.5</v>
      </c>
      <c r="C6" s="3">
        <v>0.75</v>
      </c>
      <c r="D6" s="3" t="s">
        <v>3</v>
      </c>
    </row>
    <row r="7" spans="1:11" x14ac:dyDescent="0.35">
      <c r="A7" s="3" t="s">
        <v>21</v>
      </c>
      <c r="B7" s="3">
        <v>0.9</v>
      </c>
      <c r="C7" s="3">
        <v>0.9</v>
      </c>
      <c r="D7" s="3" t="s">
        <v>3</v>
      </c>
    </row>
    <row r="8" spans="1:11" x14ac:dyDescent="0.35">
      <c r="A8" s="3" t="s">
        <v>22</v>
      </c>
      <c r="B8" s="3">
        <v>0.1</v>
      </c>
      <c r="C8" s="3">
        <v>0.1</v>
      </c>
      <c r="D8" s="3" t="s">
        <v>3</v>
      </c>
    </row>
    <row r="9" spans="1:11" x14ac:dyDescent="0.35">
      <c r="A9" s="3" t="s">
        <v>4</v>
      </c>
      <c r="B9" s="3">
        <v>200</v>
      </c>
      <c r="C9" s="3">
        <v>200</v>
      </c>
      <c r="D9" s="3" t="s">
        <v>5</v>
      </c>
    </row>
    <row r="10" spans="1:11" x14ac:dyDescent="0.35">
      <c r="A10" s="3" t="s">
        <v>17</v>
      </c>
      <c r="B10" s="3">
        <v>20</v>
      </c>
      <c r="C10" s="3">
        <v>20</v>
      </c>
      <c r="D10" s="3" t="s">
        <v>6</v>
      </c>
    </row>
    <row r="11" spans="1:11" x14ac:dyDescent="0.35">
      <c r="A11" s="3" t="s">
        <v>7</v>
      </c>
      <c r="B11" s="3">
        <v>470</v>
      </c>
      <c r="C11" s="3">
        <v>470</v>
      </c>
      <c r="D11" s="3" t="s">
        <v>16</v>
      </c>
      <c r="E11" t="s">
        <v>32</v>
      </c>
    </row>
    <row r="12" spans="1:11" x14ac:dyDescent="0.35">
      <c r="A12" s="3" t="s">
        <v>27</v>
      </c>
      <c r="B12" s="3">
        <f>B11*0.2/(365*24)</f>
        <v>1.0730593607305937E-2</v>
      </c>
      <c r="C12" s="3">
        <f>C11*0.2/(365*24)</f>
        <v>1.0730593607305937E-2</v>
      </c>
      <c r="D12" s="3" t="s">
        <v>31</v>
      </c>
      <c r="E12" t="s">
        <v>33</v>
      </c>
    </row>
    <row r="13" spans="1:11" x14ac:dyDescent="0.35">
      <c r="A13" s="3" t="s">
        <v>10</v>
      </c>
      <c r="B13" s="3">
        <f>0.1*B11</f>
        <v>47</v>
      </c>
      <c r="C13" s="3">
        <f>0.1*C11</f>
        <v>47</v>
      </c>
      <c r="D13" s="3" t="s">
        <v>8</v>
      </c>
    </row>
    <row r="14" spans="1:11" x14ac:dyDescent="0.35">
      <c r="A14" s="3" t="s">
        <v>12</v>
      </c>
      <c r="B14" s="3">
        <v>0</v>
      </c>
      <c r="C14" s="3">
        <v>0</v>
      </c>
      <c r="D14" s="3" t="s">
        <v>11</v>
      </c>
    </row>
    <row r="15" spans="1:11" x14ac:dyDescent="0.35">
      <c r="A15" s="3" t="s">
        <v>13</v>
      </c>
      <c r="B15" s="3">
        <v>0</v>
      </c>
      <c r="C15" s="3">
        <v>0</v>
      </c>
      <c r="D15" s="3" t="s">
        <v>14</v>
      </c>
    </row>
    <row r="16" spans="1:11" x14ac:dyDescent="0.35">
      <c r="A16" s="3" t="s">
        <v>15</v>
      </c>
      <c r="B16" s="3">
        <v>0</v>
      </c>
      <c r="C16" s="3">
        <v>0</v>
      </c>
      <c r="D16" s="3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77B4-BF50-4481-9605-8A8F72B9F6DF}">
  <dimension ref="A1:K16"/>
  <sheetViews>
    <sheetView workbookViewId="0">
      <selection activeCell="B3" sqref="B3"/>
    </sheetView>
  </sheetViews>
  <sheetFormatPr defaultRowHeight="14.5" x14ac:dyDescent="0.35"/>
  <cols>
    <col min="1" max="1" width="26.6328125" customWidth="1"/>
    <col min="2" max="3" width="17.7265625" customWidth="1"/>
    <col min="4" max="4" width="17.6328125" customWidth="1"/>
  </cols>
  <sheetData>
    <row r="1" spans="1:11" x14ac:dyDescent="0.35">
      <c r="A1" s="1" t="s">
        <v>0</v>
      </c>
      <c r="B1" s="1" t="s">
        <v>34</v>
      </c>
      <c r="C1" s="1" t="s">
        <v>1</v>
      </c>
      <c r="D1" s="1" t="s">
        <v>2</v>
      </c>
    </row>
    <row r="2" spans="1:11" x14ac:dyDescent="0.35">
      <c r="A2" s="2" t="s">
        <v>28</v>
      </c>
      <c r="B2" s="2">
        <f>B3/(33.33*1000)</f>
        <v>0.1</v>
      </c>
      <c r="C2" s="2">
        <v>14.7</v>
      </c>
      <c r="D2" s="2" t="s">
        <v>23</v>
      </c>
      <c r="K2">
        <f>100/33.33</f>
        <v>3.0003000300030003</v>
      </c>
    </row>
    <row r="3" spans="1:11" x14ac:dyDescent="0.35">
      <c r="A3" s="2" t="s">
        <v>29</v>
      </c>
      <c r="B3" s="2">
        <f>3333</f>
        <v>3333</v>
      </c>
      <c r="C3" s="2">
        <f>C2*33.33*1000</f>
        <v>489950.99999999994</v>
      </c>
      <c r="D3" s="2" t="s">
        <v>25</v>
      </c>
      <c r="E3" s="4" t="s">
        <v>24</v>
      </c>
    </row>
    <row r="4" spans="1:11" x14ac:dyDescent="0.35">
      <c r="A4" s="3" t="s">
        <v>18</v>
      </c>
      <c r="B4" s="3">
        <v>0.6</v>
      </c>
      <c r="C4" s="3">
        <v>0.6</v>
      </c>
      <c r="D4" s="3" t="s">
        <v>3</v>
      </c>
      <c r="E4" t="s">
        <v>30</v>
      </c>
    </row>
    <row r="5" spans="1:11" x14ac:dyDescent="0.35">
      <c r="A5" s="3" t="s">
        <v>19</v>
      </c>
      <c r="B5" s="3">
        <v>0.7</v>
      </c>
      <c r="C5" s="3">
        <v>0.7</v>
      </c>
      <c r="D5" s="3" t="s">
        <v>3</v>
      </c>
      <c r="E5" t="s">
        <v>30</v>
      </c>
    </row>
    <row r="6" spans="1:11" x14ac:dyDescent="0.35">
      <c r="A6" s="3" t="s">
        <v>20</v>
      </c>
      <c r="B6" s="3">
        <v>0.5</v>
      </c>
      <c r="C6" s="3">
        <v>0.75</v>
      </c>
      <c r="D6" s="3" t="s">
        <v>3</v>
      </c>
    </row>
    <row r="7" spans="1:11" x14ac:dyDescent="0.35">
      <c r="A7" s="3" t="s">
        <v>21</v>
      </c>
      <c r="B7" s="3">
        <v>0.9</v>
      </c>
      <c r="C7" s="3">
        <v>0.9</v>
      </c>
      <c r="D7" s="3" t="s">
        <v>3</v>
      </c>
    </row>
    <row r="8" spans="1:11" x14ac:dyDescent="0.35">
      <c r="A8" s="3" t="s">
        <v>22</v>
      </c>
      <c r="B8" s="3">
        <v>0.1</v>
      </c>
      <c r="C8" s="3">
        <v>0.1</v>
      </c>
      <c r="D8" s="3" t="s">
        <v>3</v>
      </c>
    </row>
    <row r="9" spans="1:11" x14ac:dyDescent="0.35">
      <c r="A9" s="3" t="s">
        <v>4</v>
      </c>
      <c r="B9" s="3">
        <v>200</v>
      </c>
      <c r="C9" s="3">
        <v>200</v>
      </c>
      <c r="D9" s="3" t="s">
        <v>5</v>
      </c>
    </row>
    <row r="10" spans="1:11" x14ac:dyDescent="0.35">
      <c r="A10" s="3" t="s">
        <v>17</v>
      </c>
      <c r="B10" s="3">
        <v>20</v>
      </c>
      <c r="C10" s="3">
        <v>20</v>
      </c>
      <c r="D10" s="3" t="s">
        <v>6</v>
      </c>
    </row>
    <row r="11" spans="1:11" x14ac:dyDescent="0.35">
      <c r="A11" s="3" t="s">
        <v>7</v>
      </c>
      <c r="B11" s="3">
        <v>470</v>
      </c>
      <c r="C11" s="3">
        <v>470</v>
      </c>
      <c r="D11" s="3" t="s">
        <v>16</v>
      </c>
      <c r="E11" t="s">
        <v>32</v>
      </c>
    </row>
    <row r="12" spans="1:11" x14ac:dyDescent="0.35">
      <c r="A12" s="3" t="s">
        <v>27</v>
      </c>
      <c r="B12" s="3">
        <f>B11*0.2/(365*24)</f>
        <v>1.0730593607305937E-2</v>
      </c>
      <c r="C12" s="3">
        <f>C11*0.2/(365*24)</f>
        <v>1.0730593607305937E-2</v>
      </c>
      <c r="D12" s="3" t="s">
        <v>31</v>
      </c>
      <c r="E12" t="s">
        <v>33</v>
      </c>
    </row>
    <row r="13" spans="1:11" x14ac:dyDescent="0.35">
      <c r="A13" s="3" t="s">
        <v>10</v>
      </c>
      <c r="B13" s="3">
        <f>0.1*B11</f>
        <v>47</v>
      </c>
      <c r="C13" s="3">
        <f>0.1*C11</f>
        <v>47</v>
      </c>
      <c r="D13" s="3" t="s">
        <v>8</v>
      </c>
    </row>
    <row r="14" spans="1:11" x14ac:dyDescent="0.35">
      <c r="A14" s="3" t="s">
        <v>12</v>
      </c>
      <c r="B14" s="3">
        <v>0</v>
      </c>
      <c r="C14" s="3">
        <v>0</v>
      </c>
      <c r="D14" s="3" t="s">
        <v>11</v>
      </c>
    </row>
    <row r="15" spans="1:11" x14ac:dyDescent="0.35">
      <c r="A15" s="3" t="s">
        <v>13</v>
      </c>
      <c r="B15" s="3">
        <v>0</v>
      </c>
      <c r="C15" s="3">
        <v>0</v>
      </c>
      <c r="D15" s="3" t="s">
        <v>14</v>
      </c>
    </row>
    <row r="16" spans="1:11" x14ac:dyDescent="0.35">
      <c r="A16" s="3" t="s">
        <v>15</v>
      </c>
      <c r="B16" s="3">
        <v>0</v>
      </c>
      <c r="C16" s="3">
        <v>0</v>
      </c>
      <c r="D1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TYPE1</vt:lpstr>
      <vt:lpstr>TYPE2</vt:lpstr>
      <vt:lpstr>TYPE100</vt:lpstr>
      <vt:lpstr>TYPE01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Bruno</dc:creator>
  <cp:lastModifiedBy>Lorenzo Bruno</cp:lastModifiedBy>
  <dcterms:created xsi:type="dcterms:W3CDTF">2015-06-05T18:17:20Z</dcterms:created>
  <dcterms:modified xsi:type="dcterms:W3CDTF">2025-08-28T21:26:05Z</dcterms:modified>
</cp:coreProperties>
</file>